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iego\Downloads\"/>
    </mc:Choice>
  </mc:AlternateContent>
  <xr:revisionPtr revIDLastSave="0" documentId="13_ncr:1_{BB53DDDE-3A23-4008-925C-BF128E05153C}" xr6:coauthVersionLast="47" xr6:coauthVersionMax="47" xr10:uidLastSave="{00000000-0000-0000-0000-000000000000}"/>
  <bookViews>
    <workbookView xWindow="-110" yWindow="-110" windowWidth="19420" windowHeight="11500" tabRatio="500" firstSheet="2" activeTab="3" xr2:uid="{00000000-000D-0000-FFFF-FFFF00000000}"/>
  </bookViews>
  <sheets>
    <sheet name="Datos Históricos" sheetId="1" r:id="rId1"/>
    <sheet name="Cálculo Bortman" sheetId="2" r:id="rId2"/>
    <sheet name="Canal Anual Completo" sheetId="3" r:id="rId3"/>
    <sheet name="nivel_endemico como Feature" sheetId="4" r:id="rId4"/>
    <sheet name="Métrica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2" i="2" l="1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  <c r="B18" i="2"/>
  <c r="B16" i="2"/>
  <c r="C11" i="2"/>
  <c r="C10" i="2"/>
  <c r="C9" i="2"/>
  <c r="C8" i="2"/>
  <c r="C7" i="2"/>
  <c r="C6" i="2"/>
  <c r="B17" i="2" s="1"/>
  <c r="B25" i="2" l="1"/>
  <c r="B24" i="2"/>
  <c r="B23" i="2"/>
</calcChain>
</file>

<file path=xl/sharedStrings.xml><?xml version="1.0" encoding="utf-8"?>
<sst xmlns="http://schemas.openxmlformats.org/spreadsheetml/2006/main" count="193" uniqueCount="140">
  <si>
    <t>Municipio ficticio: "San Martín" (Departamento del Meta). Se muestra el cálculo para clasificar enero de 2024.</t>
  </si>
  <si>
    <t>PASO 1: Recopilar los casos confirmados del mismo mes (enero) en los 7 años anteriores al año que se quiere clasificar (2024)</t>
  </si>
  <si>
    <t>Año</t>
  </si>
  <si>
    <t>Mes</t>
  </si>
  <si>
    <t>Casos Confirmados</t>
  </si>
  <si>
    <t>¿Outlier IQR?</t>
  </si>
  <si>
    <t>Incluido en cálculo</t>
  </si>
  <si>
    <t>No</t>
  </si>
  <si>
    <t>Sí</t>
  </si>
  <si>
    <t>Sí (brote)</t>
  </si>
  <si>
    <t>PASO 2: Transformación logarítmica de los años incluidos (sin outliers)</t>
  </si>
  <si>
    <t>Casos (cᵢ)</t>
  </si>
  <si>
    <t>xᵢ = ln(cᵢ + 1)</t>
  </si>
  <si>
    <t>PASO 3: Calcular media (x̄) y desviación estándar (s) de los logaritmos</t>
  </si>
  <si>
    <t>n (años incluidos)</t>
  </si>
  <si>
    <t>Número de años sin outliers</t>
  </si>
  <si>
    <t>x̄ (media de logaritmos)</t>
  </si>
  <si>
    <t>Promedio de los xᵢ</t>
  </si>
  <si>
    <t>s (desviación estándar)</t>
  </si>
  <si>
    <t>DE muestral de los xᵢ</t>
  </si>
  <si>
    <t>PASO 4: Calcular Media Geométrica (MG) y Límites del IC 95%</t>
  </si>
  <si>
    <t>Media Geométrica (MG)</t>
  </si>
  <si>
    <t>exp(x̄) - 1</t>
  </si>
  <si>
    <t>Límite Inferior IC95% (LI)</t>
  </si>
  <si>
    <t>exp(x̄ - 1.96·s/√n) - 1</t>
  </si>
  <si>
    <t>Límite Superior IC95% (LS)</t>
  </si>
  <si>
    <t>exp(x̄ + 1.96·s/√n) - 1</t>
  </si>
  <si>
    <t>PASO 5: Clasificar el valor actual (enero 2024)</t>
  </si>
  <si>
    <t>Casos observados enero 2024</t>
  </si>
  <si>
    <t>Clasificación automática</t>
  </si>
  <si>
    <t>Interpretación: Si casos &lt; LI → Éxito (por debajo de lo esperado). Si LI ≤ casos &lt; LS → En rango (dentro del canal). Si casos ≥ LS → Epidemia (por encima de lo esperado).</t>
  </si>
  <si>
    <t>Valores pre-calculados para los 12 meses del año, con clasificación del nivel de riesgo.</t>
  </si>
  <si>
    <t>LI IC95%</t>
  </si>
  <si>
    <t>Media Geométrica</t>
  </si>
  <si>
    <t>LS IC95%</t>
  </si>
  <si>
    <t>Casos 2024</t>
  </si>
  <si>
    <t>Nivel de Riesgo</t>
  </si>
  <si>
    <t>Código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</si>
  <si>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</si>
  <si>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</si>
  <si>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</si>
  <si>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</si>
  <si>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</si>
  <si>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</si>
  <si>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</si>
  <si>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</si>
  <si>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</si>
  <si>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</si>
  <si>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</si>
  <si>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</si>
  <si>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¿Por qué nivel_endemico es la variable más importante del modelo?</t>
  </si>
  <si>
    <t>Ejemplo: Dos municipios con los mismos 15 casos en enero, pero diferente nivel_endemico</t>
  </si>
  <si>
    <t>Municipio</t>
  </si>
  <si>
    <t>Casos Enero</t>
  </si>
  <si>
    <t>nivel_endemico (MG)</t>
  </si>
  <si>
    <t>Clasificación</t>
  </si>
  <si>
    <t>Interpretación</t>
  </si>
  <si>
    <t>Cúcuta</t>
  </si>
  <si>
    <t>0 - Éxito</t>
  </si>
  <si>
    <t>Históricamente tiene ~45 casos/mes. 15 es MUY bajo → éxito</t>
  </si>
  <si>
    <t>El Carmen</t>
  </si>
  <si>
    <t>2 - Epidemia</t>
  </si>
  <si>
    <t>Históricamente tiene ~3.5 casos/mes. 15 es MUY alto → epidemia</t>
  </si>
  <si>
    <t>Sin nivel_endemico, el modelo ve 15 casos en ambos municipios y no puede distinguir si eso es mucho o poco. Con nivel_endemico, sabe que 15 es bajo para Cúcuta (MG=45) pero alto para El Carmen (MG=3.5). Esta variable aporta el 30% de la importancia del modelo.</t>
  </si>
  <si>
    <t>Canal Endémico de Bortman - Ejemplo de Cálculo</t>
  </si>
  <si>
    <t>Canal Endémico de Bortman - Cálculo Paso a Paso</t>
  </si>
  <si>
    <t>Canal Endémico Anual - Municipio San Martín (2024)</t>
  </si>
  <si>
    <t>Clase</t>
  </si>
  <si>
    <t>Precision</t>
  </si>
  <si>
    <t>Sensibilidad</t>
  </si>
  <si>
    <t>F1-Score</t>
  </si>
  <si>
    <t>Tasa FP</t>
  </si>
  <si>
    <t>Soporte</t>
  </si>
  <si>
    <t>Éxito</t>
  </si>
  <si>
    <t>0.571</t>
  </si>
  <si>
    <t>0.697</t>
  </si>
  <si>
    <t>0.627</t>
  </si>
  <si>
    <t>0.112</t>
  </si>
  <si>
    <t>En rango</t>
  </si>
  <si>
    <t>0.674</t>
  </si>
  <si>
    <t>0.728</t>
  </si>
  <si>
    <t>0.700</t>
  </si>
  <si>
    <t>0.231</t>
  </si>
  <si>
    <t>Epidemia</t>
  </si>
  <si>
    <t>0.917</t>
  </si>
  <si>
    <t>0.766</t>
  </si>
  <si>
    <t>0.835</t>
  </si>
  <si>
    <t>0.052</t>
  </si>
  <si>
    <t>LightGBM (Mejor modelo — Macro F1 = 0.729)</t>
  </si>
  <si>
    <t>Random Forest (Macro F1 = 0.703)</t>
  </si>
  <si>
    <t>0.486</t>
  </si>
  <si>
    <t>0.862</t>
  </si>
  <si>
    <t>0.622</t>
  </si>
  <si>
    <t>0.195</t>
  </si>
  <si>
    <t>0.712</t>
  </si>
  <si>
    <t>0.599</t>
  </si>
  <si>
    <t>0.651</t>
  </si>
  <si>
    <t>0.159</t>
  </si>
  <si>
    <t>0.924</t>
  </si>
  <si>
    <t>0.765</t>
  </si>
  <si>
    <t>0.837</t>
  </si>
  <si>
    <t>0.047</t>
  </si>
  <si>
    <t>XGBoost (Macro F1 = 0.708)</t>
  </si>
  <si>
    <t>0.624</t>
  </si>
  <si>
    <t>0.596</t>
  </si>
  <si>
    <t>0.100</t>
  </si>
  <si>
    <t>0.652</t>
  </si>
  <si>
    <t>0.751</t>
  </si>
  <si>
    <t>0.698</t>
  </si>
  <si>
    <t>0.262</t>
  </si>
  <si>
    <t>0.919</t>
  </si>
  <si>
    <t>0.755</t>
  </si>
  <si>
    <t>0.829</t>
  </si>
  <si>
    <t>0.050</t>
  </si>
  <si>
    <t>CatBoost (Macro F1 = 0.704)</t>
  </si>
  <si>
    <t>0.491</t>
  </si>
  <si>
    <t>0.883</t>
  </si>
  <si>
    <t>0.631</t>
  </si>
  <si>
    <t>0.196</t>
  </si>
  <si>
    <t>0.709</t>
  </si>
  <si>
    <t>0.648</t>
  </si>
  <si>
    <t>0.160</t>
  </si>
  <si>
    <t>0.927</t>
  </si>
  <si>
    <t>0.758</t>
  </si>
  <si>
    <t>0.834</t>
  </si>
  <si>
    <t>0.045</t>
  </si>
  <si>
    <t>Logistic Regression — Baseline (Macro F1 = 0.595)</t>
  </si>
  <si>
    <t>0.570</t>
  </si>
  <si>
    <t>0.456</t>
  </si>
  <si>
    <t>0.507</t>
  </si>
  <si>
    <t>0.073</t>
  </si>
  <si>
    <t>0.534</t>
  </si>
  <si>
    <t>0.606</t>
  </si>
  <si>
    <t>0.568</t>
  </si>
  <si>
    <t>0.347</t>
  </si>
  <si>
    <t>0.726</t>
  </si>
  <si>
    <t>0.695</t>
  </si>
  <si>
    <t>0.710</t>
  </si>
  <si>
    <t>0.197</t>
  </si>
  <si>
    <t xml:space="preserve"> 2019 fue año epidémico atípico. Se excluye del cálculo por IQR (Q3 + 1.5×IQR).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</si>
</sst>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Calibri"/>
      <family val="2"/>
      <charset val="1"/>
    </font>
    <font>
      <i/>
      <sz val="10"/>
      <color rgb="FF666666"/>
      <name val="Arial"/>
      <charset val="1"/>
    </font>
    <font>
      <b/>
      <sz val="11"/>
      <color rgb="FF333333"/>
      <name val="Arial"/>
      <charset val="1"/>
    </font>
    <font>
      <b/>
      <sz val="11"/>
      <color rgb="FFFFFFFF"/>
      <name val="Arial"/>
      <charset val="1"/>
    </font>
    <font>
      <sz val="10"/>
      <color rgb="FF0000FF"/>
      <name val="Arial"/>
      <charset val="1"/>
    </font>
    <font>
      <sz val="10"/>
      <name val="Arial"/>
      <charset val="1"/>
    </font>
    <font>
      <i/>
      <sz val="9"/>
      <color rgb="FFC62828"/>
      <name val="Arial"/>
      <charset val="1"/>
    </font>
    <font>
      <sz val="10"/>
      <color rgb="FF000000"/>
      <name val="Arial"/>
      <charset val="1"/>
    </font>
    <font>
      <b/>
      <sz val="10"/>
      <name val="Arial"/>
      <charset val="1"/>
    </font>
    <font>
      <i/>
      <sz val="9"/>
      <color rgb="FF666666"/>
      <name val="Arial"/>
      <charset val="1"/>
    </font>
    <font>
      <b/>
      <sz val="12"/>
      <color rgb="FF0000FF"/>
      <name val="Arial"/>
      <charset val="1"/>
    </font>
    <font>
      <b/>
      <sz val="11"/>
      <name val="Arial"/>
      <charset val="1"/>
    </font>
    <font>
      <i/>
      <sz val="10"/>
      <color rgb="FF333333"/>
      <name val="Arial"/>
      <charset val="1"/>
    </font>
    <font>
      <sz val="10"/>
      <color rgb="FF333333"/>
      <name val="Arial"/>
      <charset val="1"/>
    </font>
    <font>
      <b/>
      <sz val="12"/>
      <color theme="1"/>
      <name val="Arial"/>
      <family val="2"/>
    </font>
    <font>
      <b/>
      <sz val="10"/>
      <color rgb="FFFFFFFF"/>
      <name val="Arial"/>
      <family val="2"/>
    </font>
    <font>
      <sz val="10"/>
      <color rgb="FFFF0000"/>
      <name val="Arial"/>
      <family val="2"/>
    </font>
    <font>
      <b/>
      <sz val="11"/>
      <color theme="1"/>
      <name val="Arial"/>
      <family val="2"/>
    </font>
    <font>
      <sz val="10"/>
      <color rgb="FF000000"/>
      <name val="Arial"/>
      <family val="2"/>
    </font>
    <font>
      <i/>
      <sz val="9"/>
      <color rgb="FFC62828"/>
      <name val="Arial"/>
      <family val="2"/>
    </font>
    <font>
      <sz val="10"/>
      <color rgb="FF333333"/>
      <name val="Arial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565C0"/>
        <bgColor rgb="FF3366FF"/>
      </patternFill>
    </fill>
    <fill>
      <patternFill patternType="solid">
        <fgColor rgb="FFFFCDD2"/>
        <bgColor rgb="FFD9D9D9"/>
      </patternFill>
    </fill>
    <fill>
      <patternFill patternType="solid">
        <fgColor rgb="FFC8E6C9"/>
        <bgColor rgb="FFD9D9D9"/>
      </patternFill>
    </fill>
    <fill>
      <patternFill patternType="solid">
        <fgColor rgb="FFBBDEFB"/>
        <bgColor rgb="FFC8E6C9"/>
      </patternFill>
    </fill>
    <fill>
      <patternFill patternType="solid">
        <fgColor rgb="FFEF9A9A"/>
        <bgColor rgb="FFFF8080"/>
      </patternFill>
    </fill>
    <fill>
      <patternFill patternType="solid">
        <fgColor rgb="FF0070C0"/>
        <bgColor rgb="FF3366FF"/>
      </patternFill>
    </fill>
    <fill>
      <patternFill patternType="solid">
        <fgColor rgb="FF1565C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BBBBBB"/>
      </left>
      <right style="medium">
        <color rgb="FFBBBBBB"/>
      </right>
      <top style="medium">
        <color rgb="FFBBBBBB"/>
      </top>
      <bottom style="medium">
        <color rgb="FFBBBBBB"/>
      </bottom>
      <diagonal/>
    </border>
    <border>
      <left/>
      <right style="medium">
        <color rgb="FFBBBBBB"/>
      </right>
      <top style="medium">
        <color rgb="FFBBBBBB"/>
      </top>
      <bottom style="medium">
        <color rgb="FFBBBBBB"/>
      </bottom>
      <diagonal/>
    </border>
    <border>
      <left style="medium">
        <color rgb="FFBBBBBB"/>
      </left>
      <right style="medium">
        <color rgb="FFBBBBBB"/>
      </right>
      <top/>
      <bottom style="medium">
        <color rgb="FFBBBBBB"/>
      </bottom>
      <diagonal/>
    </border>
    <border>
      <left/>
      <right style="medium">
        <color rgb="FFBBBBBB"/>
      </right>
      <top/>
      <bottom style="medium">
        <color rgb="FFBBBBBB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3" fillId="0" borderId="0" xfId="0" applyFont="1" applyBorder="1" applyAlignment="1">
      <alignment wrapText="1"/>
    </xf>
    <xf numFmtId="0" fontId="12" fillId="0" borderId="0" xfId="0" applyFont="1" applyBorder="1"/>
    <xf numFmtId="0" fontId="6" fillId="0" borderId="0" xfId="0" applyFont="1" applyBorder="1"/>
    <xf numFmtId="0" fontId="2" fillId="0" borderId="0" xfId="0" applyFont="1" applyBorder="1"/>
    <xf numFmtId="0" fontId="1" fillId="0" borderId="0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/>
    <xf numFmtId="0" fontId="7" fillId="0" borderId="1" xfId="0" applyFont="1" applyBorder="1"/>
    <xf numFmtId="0" fontId="9" fillId="0" borderId="1" xfId="0" applyFont="1" applyBorder="1"/>
    <xf numFmtId="2" fontId="7" fillId="4" borderId="1" xfId="0" applyNumberFormat="1" applyFont="1" applyFill="1" applyBorder="1"/>
    <xf numFmtId="2" fontId="7" fillId="5" borderId="1" xfId="0" applyNumberFormat="1" applyFont="1" applyFill="1" applyBorder="1"/>
    <xf numFmtId="2" fontId="7" fillId="6" borderId="1" xfId="0" applyNumberFormat="1" applyFont="1" applyFill="1" applyBorder="1"/>
    <xf numFmtId="0" fontId="8" fillId="0" borderId="0" xfId="0" applyFont="1"/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/>
    <xf numFmtId="164" fontId="5" fillId="0" borderId="1" xfId="0" applyNumberFormat="1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4" fillId="0" borderId="0" xfId="0" applyFont="1" applyBorder="1"/>
    <xf numFmtId="0" fontId="3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5" fillId="8" borderId="2" xfId="0" applyFont="1" applyFill="1" applyBorder="1" applyAlignment="1">
      <alignment horizontal="center" vertical="center" wrapText="1"/>
    </xf>
    <xf numFmtId="0" fontId="15" fillId="8" borderId="3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9" borderId="4" xfId="0" applyFont="1" applyFill="1" applyBorder="1" applyAlignment="1">
      <alignment horizontal="center" vertical="center" wrapText="1"/>
    </xf>
    <xf numFmtId="0" fontId="18" fillId="9" borderId="5" xfId="0" applyFont="1" applyFill="1" applyBorder="1" applyAlignment="1">
      <alignment horizontal="center" vertical="center" wrapText="1"/>
    </xf>
    <xf numFmtId="0" fontId="17" fillId="0" borderId="0" xfId="0" applyFont="1"/>
    <xf numFmtId="0" fontId="19" fillId="0" borderId="0" xfId="0" applyFont="1" applyBorder="1"/>
    <xf numFmtId="0" fontId="20" fillId="0" borderId="0" xfId="0" applyFont="1" applyBorder="1" applyAlignment="1">
      <alignment wrapText="1"/>
    </xf>
    <xf numFmtId="0" fontId="21" fillId="0" borderId="1" xfId="0" applyFont="1" applyBorder="1" applyAlignment="1">
      <alignment horizontal="center" vertical="center" wrapText="1"/>
    </xf>
    <xf numFmtId="0" fontId="17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993366"/>
      <rgbColor rgb="FFFFFFCC"/>
      <rgbColor rgb="FFD9D9D9"/>
      <rgbColor rgb="FF660066"/>
      <rgbColor rgb="FFFF8080"/>
      <rgbColor rgb="FF1565C0"/>
      <rgbColor rgb="FFBBDE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EF9A9A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32"/>
      <rgbColor rgb="FF003300"/>
      <rgbColor rgb="FF333300"/>
      <rgbColor rgb="FFC62828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Canal Endémico de Bortman — San Martín 2024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'Canal Anual Completo'!$B$4</c:f>
              <c:strCache>
                <c:ptCount val="1"/>
                <c:pt idx="0">
                  <c:v>LI IC95%</c:v>
                </c:pt>
              </c:strCache>
            </c:strRef>
          </c:tx>
          <c:spPr>
            <a:ln w="47520">
              <a:solidFill>
                <a:srgbClr val="1565C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'Canal Anual Completo'!$A$5:$A$16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'Canal Anual Completo'!$B$5:$B$16</c:f>
              <c:numCache>
                <c:formatCode>0.0</c:formatCode>
                <c:ptCount val="12"/>
                <c:pt idx="0">
                  <c:v>4.2</c:v>
                </c:pt>
                <c:pt idx="1">
                  <c:v>5.0999999999999996</c:v>
                </c:pt>
                <c:pt idx="2">
                  <c:v>6.8</c:v>
                </c:pt>
                <c:pt idx="3">
                  <c:v>9.5</c:v>
                </c:pt>
                <c:pt idx="4">
                  <c:v>12.3</c:v>
                </c:pt>
                <c:pt idx="5">
                  <c:v>11</c:v>
                </c:pt>
                <c:pt idx="6">
                  <c:v>8.5</c:v>
                </c:pt>
                <c:pt idx="7">
                  <c:v>7.2</c:v>
                </c:pt>
                <c:pt idx="8">
                  <c:v>8.4</c:v>
                </c:pt>
                <c:pt idx="9">
                  <c:v>10.8</c:v>
                </c:pt>
                <c:pt idx="10">
                  <c:v>9.5</c:v>
                </c:pt>
                <c:pt idx="11">
                  <c:v>5.8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90D-4F5D-8059-B3832A77B397}"/>
            </c:ext>
          </c:extLst>
        </c:ser>
        <c:ser>
          <c:idx val="1"/>
          <c:order val="1"/>
          <c:tx>
            <c:strRef>
              <c:f>'Canal Anual Completo'!$C$4</c:f>
              <c:strCache>
                <c:ptCount val="1"/>
                <c:pt idx="0">
                  <c:v>Media Geométrica</c:v>
                </c:pt>
              </c:strCache>
            </c:strRef>
          </c:tx>
          <c:spPr>
            <a:ln w="24840">
              <a:solidFill>
                <a:srgbClr val="2E7D3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'Canal Anual Completo'!$A$5:$A$16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'Canal Anual Completo'!$C$5:$C$16</c:f>
              <c:numCache>
                <c:formatCode>0.0</c:formatCode>
                <c:ptCount val="12"/>
                <c:pt idx="0">
                  <c:v>9.8000000000000007</c:v>
                </c:pt>
                <c:pt idx="1">
                  <c:v>11.5</c:v>
                </c:pt>
                <c:pt idx="2">
                  <c:v>15.2</c:v>
                </c:pt>
                <c:pt idx="3">
                  <c:v>22</c:v>
                </c:pt>
                <c:pt idx="4">
                  <c:v>28.5</c:v>
                </c:pt>
                <c:pt idx="5">
                  <c:v>25.8</c:v>
                </c:pt>
                <c:pt idx="6">
                  <c:v>19.5</c:v>
                </c:pt>
                <c:pt idx="7">
                  <c:v>16.8</c:v>
                </c:pt>
                <c:pt idx="8">
                  <c:v>19.2</c:v>
                </c:pt>
                <c:pt idx="9">
                  <c:v>24.5</c:v>
                </c:pt>
                <c:pt idx="10">
                  <c:v>21.8</c:v>
                </c:pt>
                <c:pt idx="11">
                  <c:v>13.2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90D-4F5D-8059-B3832A77B397}"/>
            </c:ext>
          </c:extLst>
        </c:ser>
        <c:ser>
          <c:idx val="2"/>
          <c:order val="2"/>
          <c:tx>
            <c:strRef>
              <c:f>'Canal Anual Completo'!$D$4</c:f>
              <c:strCache>
                <c:ptCount val="1"/>
                <c:pt idx="0">
                  <c:v>LS IC95%</c:v>
                </c:pt>
              </c:strCache>
            </c:strRef>
          </c:tx>
          <c:spPr>
            <a:ln w="47520">
              <a:solidFill>
                <a:srgbClr val="C6282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'Canal Anual Completo'!$A$5:$A$16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'Canal Anual Completo'!$D$5:$D$16</c:f>
              <c:numCache>
                <c:formatCode>0.0</c:formatCode>
                <c:ptCount val="12"/>
                <c:pt idx="0">
                  <c:v>16.5</c:v>
                </c:pt>
                <c:pt idx="1">
                  <c:v>19.2</c:v>
                </c:pt>
                <c:pt idx="2">
                  <c:v>25.8</c:v>
                </c:pt>
                <c:pt idx="3">
                  <c:v>36</c:v>
                </c:pt>
                <c:pt idx="4">
                  <c:v>46.8</c:v>
                </c:pt>
                <c:pt idx="5">
                  <c:v>42.5</c:v>
                </c:pt>
                <c:pt idx="6">
                  <c:v>32</c:v>
                </c:pt>
                <c:pt idx="7">
                  <c:v>27.5</c:v>
                </c:pt>
                <c:pt idx="8">
                  <c:v>31.5</c:v>
                </c:pt>
                <c:pt idx="9">
                  <c:v>40.200000000000003</c:v>
                </c:pt>
                <c:pt idx="10">
                  <c:v>35.799999999999997</c:v>
                </c:pt>
                <c:pt idx="11">
                  <c:v>21.5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90D-4F5D-8059-B3832A77B397}"/>
            </c:ext>
          </c:extLst>
        </c:ser>
        <c:ser>
          <c:idx val="3"/>
          <c:order val="3"/>
          <c:tx>
            <c:strRef>
              <c:f>'Canal Anual Completo'!$E$4</c:f>
              <c:strCache>
                <c:ptCount val="1"/>
                <c:pt idx="0">
                  <c:v>Casos 2024</c:v>
                </c:pt>
              </c:strCache>
            </c:strRef>
          </c:tx>
          <c:spPr>
            <a:ln w="2988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'Canal Anual Completo'!$A$5:$A$16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'Canal Anual Completo'!$E$5:$E$16</c:f>
              <c:numCache>
                <c:formatCode>General</c:formatCode>
                <c:ptCount val="12"/>
                <c:pt idx="0">
                  <c:v>22</c:v>
                </c:pt>
                <c:pt idx="1">
                  <c:v>18</c:v>
                </c:pt>
                <c:pt idx="2">
                  <c:v>24</c:v>
                </c:pt>
                <c:pt idx="3">
                  <c:v>35</c:v>
                </c:pt>
                <c:pt idx="4">
                  <c:v>55</c:v>
                </c:pt>
                <c:pt idx="5">
                  <c:v>40</c:v>
                </c:pt>
                <c:pt idx="6">
                  <c:v>20</c:v>
                </c:pt>
                <c:pt idx="7">
                  <c:v>15</c:v>
                </c:pt>
                <c:pt idx="8">
                  <c:v>28</c:v>
                </c:pt>
                <c:pt idx="9">
                  <c:v>38</c:v>
                </c:pt>
                <c:pt idx="10">
                  <c:v>30</c:v>
                </c:pt>
                <c:pt idx="11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90D-4F5D-8059-B3832A77B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3986340"/>
        <c:axId val="99902272"/>
      </c:lineChart>
      <c:catAx>
        <c:axId val="839863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99902272"/>
        <c:crosses val="autoZero"/>
        <c:auto val="1"/>
        <c:lblAlgn val="ctr"/>
        <c:lblOffset val="100"/>
        <c:noMultiLvlLbl val="0"/>
      </c:catAx>
      <c:valAx>
        <c:axId val="999022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Casos confirmados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839863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10080</xdr:rowOff>
    </xdr:from>
    <xdr:to>
      <xdr:col>8</xdr:col>
      <xdr:colOff>587160</xdr:colOff>
      <xdr:row>47</xdr:row>
      <xdr:rowOff>54719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750793</xdr:colOff>
      <xdr:row>2</xdr:row>
      <xdr:rowOff>5337</xdr:rowOff>
    </xdr:from>
    <xdr:to>
      <xdr:col>19</xdr:col>
      <xdr:colOff>119422</xdr:colOff>
      <xdr:row>31</xdr:row>
      <xdr:rowOff>181429</xdr:rowOff>
    </xdr:to>
    <xdr:pic>
      <xdr:nvPicPr>
        <xdr:cNvPr id="2" name="img/confusion_matrices.png" title="img/confusion_matrices.png">
          <a:extLst>
            <a:ext uri="{FF2B5EF4-FFF2-40B4-BE49-F238E27FC236}">
              <a16:creationId xmlns:a16="http://schemas.microsoft.com/office/drawing/2014/main" id="{4C4783F0-5652-F9F9-EF88-2A657DED3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499" y="386337"/>
          <a:ext cx="9274629" cy="59135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zoomScaleNormal="100" workbookViewId="0">
      <selection activeCell="F9" sqref="F9"/>
    </sheetView>
  </sheetViews>
  <sheetFormatPr baseColWidth="10" defaultColWidth="8.6328125" defaultRowHeight="14.5" x14ac:dyDescent="0.35"/>
  <cols>
    <col min="1" max="14" width="16" customWidth="1"/>
  </cols>
  <sheetData>
    <row r="1" spans="1:14" ht="15.5" x14ac:dyDescent="0.35">
      <c r="A1" s="24" t="s">
        <v>64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x14ac:dyDescent="0.3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4" spans="1:14" x14ac:dyDescent="0.35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6" spans="1:14" ht="26" x14ac:dyDescent="0.35">
      <c r="A6" s="26" t="s">
        <v>2</v>
      </c>
      <c r="B6" s="26" t="s">
        <v>3</v>
      </c>
      <c r="C6" s="26" t="s">
        <v>4</v>
      </c>
      <c r="D6" s="26" t="s">
        <v>5</v>
      </c>
      <c r="E6" s="26" t="s">
        <v>6</v>
      </c>
    </row>
    <row r="7" spans="1:14" x14ac:dyDescent="0.35">
      <c r="A7" s="7">
        <v>2017</v>
      </c>
      <c r="B7" s="7">
        <v>1</v>
      </c>
      <c r="C7" s="7">
        <v>8</v>
      </c>
      <c r="D7" s="8" t="s">
        <v>7</v>
      </c>
      <c r="E7" s="8" t="s">
        <v>8</v>
      </c>
    </row>
    <row r="8" spans="1:14" x14ac:dyDescent="0.35">
      <c r="A8" s="7">
        <v>2018</v>
      </c>
      <c r="B8" s="7">
        <v>1</v>
      </c>
      <c r="C8" s="7">
        <v>12</v>
      </c>
      <c r="D8" s="8" t="s">
        <v>7</v>
      </c>
      <c r="E8" s="8" t="s">
        <v>8</v>
      </c>
    </row>
    <row r="9" spans="1:14" x14ac:dyDescent="0.35">
      <c r="A9" s="9">
        <v>2019</v>
      </c>
      <c r="B9" s="9">
        <v>1</v>
      </c>
      <c r="C9" s="9">
        <v>45</v>
      </c>
      <c r="D9" s="10" t="s">
        <v>9</v>
      </c>
      <c r="E9" s="10" t="s">
        <v>7</v>
      </c>
      <c r="G9" s="35" t="s">
        <v>139</v>
      </c>
      <c r="H9" s="3"/>
      <c r="I9" s="3"/>
      <c r="J9" s="3"/>
      <c r="K9" s="3"/>
      <c r="L9" s="3"/>
      <c r="M9" s="3"/>
      <c r="N9" s="3"/>
    </row>
    <row r="10" spans="1:14" x14ac:dyDescent="0.35">
      <c r="A10" s="7">
        <v>2020</v>
      </c>
      <c r="B10" s="7">
        <v>1</v>
      </c>
      <c r="C10" s="7">
        <v>15</v>
      </c>
      <c r="D10" s="8" t="s">
        <v>7</v>
      </c>
      <c r="E10" s="8" t="s">
        <v>8</v>
      </c>
    </row>
    <row r="11" spans="1:14" x14ac:dyDescent="0.35">
      <c r="A11" s="7">
        <v>2021</v>
      </c>
      <c r="B11" s="7">
        <v>1</v>
      </c>
      <c r="C11" s="7">
        <v>6</v>
      </c>
      <c r="D11" s="8" t="s">
        <v>7</v>
      </c>
      <c r="E11" s="8" t="s">
        <v>8</v>
      </c>
    </row>
    <row r="12" spans="1:14" x14ac:dyDescent="0.35">
      <c r="A12" s="7">
        <v>2022</v>
      </c>
      <c r="B12" s="7">
        <v>1</v>
      </c>
      <c r="C12" s="7">
        <v>10</v>
      </c>
      <c r="D12" s="8" t="s">
        <v>7</v>
      </c>
      <c r="E12" s="8" t="s">
        <v>8</v>
      </c>
    </row>
    <row r="13" spans="1:14" x14ac:dyDescent="0.35">
      <c r="A13" s="7">
        <v>2023</v>
      </c>
      <c r="B13" s="7">
        <v>1</v>
      </c>
      <c r="C13" s="7">
        <v>14</v>
      </c>
      <c r="D13" s="8" t="s">
        <v>7</v>
      </c>
      <c r="E13" s="8" t="s">
        <v>8</v>
      </c>
    </row>
  </sheetData>
  <mergeCells count="4">
    <mergeCell ref="A1:N1"/>
    <mergeCell ref="A2:N2"/>
    <mergeCell ref="A4:N4"/>
    <mergeCell ref="G9:N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topLeftCell="A17" zoomScale="106" zoomScaleNormal="85" workbookViewId="0">
      <selection activeCell="B32" sqref="B32"/>
    </sheetView>
  </sheetViews>
  <sheetFormatPr baseColWidth="10" defaultColWidth="8.6328125" defaultRowHeight="14.5" x14ac:dyDescent="0.35"/>
  <cols>
    <col min="1" max="1" width="27.08984375" bestFit="1" customWidth="1"/>
    <col min="2" max="8" width="22" customWidth="1"/>
  </cols>
  <sheetData>
    <row r="1" spans="1:8" ht="15.5" x14ac:dyDescent="0.35">
      <c r="A1" s="24" t="s">
        <v>65</v>
      </c>
      <c r="B1" s="24"/>
      <c r="C1" s="24"/>
      <c r="D1" s="24"/>
      <c r="E1" s="24"/>
      <c r="F1" s="24"/>
      <c r="G1" s="24"/>
      <c r="H1" s="24"/>
    </row>
    <row r="3" spans="1:8" x14ac:dyDescent="0.35">
      <c r="A3" s="4" t="s">
        <v>10</v>
      </c>
      <c r="B3" s="4"/>
      <c r="C3" s="4"/>
      <c r="D3" s="4"/>
      <c r="E3" s="4"/>
      <c r="F3" s="4"/>
      <c r="G3" s="4"/>
      <c r="H3" s="4"/>
    </row>
    <row r="5" spans="1:8" x14ac:dyDescent="0.35">
      <c r="A5" s="25" t="s">
        <v>2</v>
      </c>
      <c r="B5" s="25" t="s">
        <v>11</v>
      </c>
      <c r="C5" s="25" t="s">
        <v>12</v>
      </c>
    </row>
    <row r="6" spans="1:8" x14ac:dyDescent="0.35">
      <c r="A6" s="7">
        <v>2017</v>
      </c>
      <c r="B6" s="7">
        <v>8</v>
      </c>
      <c r="C6" s="11">
        <f t="shared" ref="C6:C11" si="0">LN(B6+1)</f>
        <v>2.1972245773362196</v>
      </c>
    </row>
    <row r="7" spans="1:8" x14ac:dyDescent="0.35">
      <c r="A7" s="7">
        <v>2018</v>
      </c>
      <c r="B7" s="7">
        <v>12</v>
      </c>
      <c r="C7" s="11">
        <f t="shared" si="0"/>
        <v>2.5649493574615367</v>
      </c>
    </row>
    <row r="8" spans="1:8" x14ac:dyDescent="0.35">
      <c r="A8" s="7">
        <v>2020</v>
      </c>
      <c r="B8" s="7">
        <v>15</v>
      </c>
      <c r="C8" s="11">
        <f t="shared" si="0"/>
        <v>2.7725887222397811</v>
      </c>
    </row>
    <row r="9" spans="1:8" x14ac:dyDescent="0.35">
      <c r="A9" s="7">
        <v>2021</v>
      </c>
      <c r="B9" s="7">
        <v>6</v>
      </c>
      <c r="C9" s="11">
        <f t="shared" si="0"/>
        <v>1.9459101490553132</v>
      </c>
    </row>
    <row r="10" spans="1:8" x14ac:dyDescent="0.35">
      <c r="A10" s="7">
        <v>2022</v>
      </c>
      <c r="B10" s="7">
        <v>10</v>
      </c>
      <c r="C10" s="11">
        <f t="shared" si="0"/>
        <v>2.3978952727983707</v>
      </c>
    </row>
    <row r="11" spans="1:8" x14ac:dyDescent="0.35">
      <c r="A11" s="7">
        <v>2023</v>
      </c>
      <c r="B11" s="7">
        <v>14</v>
      </c>
      <c r="C11" s="11">
        <f t="shared" si="0"/>
        <v>2.7080502011022101</v>
      </c>
    </row>
    <row r="14" spans="1:8" x14ac:dyDescent="0.35">
      <c r="A14" s="4" t="s">
        <v>13</v>
      </c>
      <c r="B14" s="4"/>
      <c r="C14" s="4"/>
      <c r="D14" s="4"/>
      <c r="E14" s="4"/>
      <c r="F14" s="4"/>
      <c r="G14" s="4"/>
      <c r="H14" s="4"/>
    </row>
    <row r="16" spans="1:8" x14ac:dyDescent="0.35">
      <c r="A16" s="12" t="s">
        <v>14</v>
      </c>
      <c r="B16" s="13">
        <f>COUNTA(C6:C11)</f>
        <v>6</v>
      </c>
      <c r="C16" s="14" t="s">
        <v>15</v>
      </c>
    </row>
    <row r="17" spans="1:8" x14ac:dyDescent="0.35">
      <c r="A17" s="12" t="s">
        <v>16</v>
      </c>
      <c r="B17" s="13">
        <f>AVERAGE(C6:C11)</f>
        <v>2.4311030466655721</v>
      </c>
      <c r="C17" s="14" t="s">
        <v>17</v>
      </c>
    </row>
    <row r="18" spans="1:8" x14ac:dyDescent="0.35">
      <c r="A18" s="12" t="s">
        <v>18</v>
      </c>
      <c r="B18" s="13">
        <f>STDEV(C6:C11)</f>
        <v>0.3169987603884587</v>
      </c>
      <c r="C18" s="14" t="s">
        <v>19</v>
      </c>
    </row>
    <row r="21" spans="1:8" x14ac:dyDescent="0.35">
      <c r="A21" s="4" t="s">
        <v>20</v>
      </c>
      <c r="B21" s="4"/>
      <c r="C21" s="4"/>
      <c r="D21" s="4"/>
      <c r="E21" s="4"/>
      <c r="F21" s="4"/>
      <c r="G21" s="4"/>
      <c r="H21" s="4"/>
    </row>
    <row r="23" spans="1:8" x14ac:dyDescent="0.35">
      <c r="A23" s="12" t="s">
        <v>21</v>
      </c>
      <c r="B23" s="15">
        <f>EXP(B17)-1</f>
        <v>10.371418369789666</v>
      </c>
      <c r="C23" s="14" t="s">
        <v>22</v>
      </c>
    </row>
    <row r="24" spans="1:8" x14ac:dyDescent="0.35">
      <c r="A24" s="12" t="s">
        <v>23</v>
      </c>
      <c r="B24" s="16">
        <f>EXP(B17-1.96*B18/SQRT(B16))-1</f>
        <v>7.823787598103852</v>
      </c>
      <c r="C24" s="14" t="s">
        <v>24</v>
      </c>
    </row>
    <row r="25" spans="1:8" x14ac:dyDescent="0.35">
      <c r="A25" s="12" t="s">
        <v>25</v>
      </c>
      <c r="B25" s="17">
        <f>EXP(B17+1.96*B18/SQRT(B16))-1</f>
        <v>13.65460884037793</v>
      </c>
      <c r="C25" s="14" t="s">
        <v>26</v>
      </c>
    </row>
    <row r="28" spans="1:8" x14ac:dyDescent="0.35">
      <c r="A28" s="4" t="s">
        <v>27</v>
      </c>
      <c r="B28" s="4"/>
      <c r="C28" s="4"/>
      <c r="D28" s="4"/>
      <c r="E28" s="4"/>
      <c r="F28" s="4"/>
      <c r="G28" s="4"/>
      <c r="H28" s="4"/>
    </row>
    <row r="30" spans="1:8" ht="15.5" x14ac:dyDescent="0.35">
      <c r="A30" s="18" t="s">
        <v>28</v>
      </c>
      <c r="B30" s="19">
        <v>22</v>
      </c>
    </row>
    <row r="32" spans="1:8" x14ac:dyDescent="0.35">
      <c r="A32" s="18" t="s">
        <v>29</v>
      </c>
      <c r="B32" s="20" t="str">
        <f>IF(B30&lt;B24,"0 - Éxito",IF(B30&lt;B25,"1 - En rango","2 - Epidemia"))</f>
        <v>2 - Epidemia</v>
      </c>
    </row>
    <row r="34" spans="1:8" x14ac:dyDescent="0.35">
      <c r="A34" s="2" t="s">
        <v>30</v>
      </c>
      <c r="B34" s="2"/>
      <c r="C34" s="2"/>
      <c r="D34" s="2"/>
      <c r="E34" s="2"/>
      <c r="F34" s="2"/>
      <c r="G34" s="2"/>
      <c r="H34" s="2"/>
    </row>
  </sheetData>
  <mergeCells count="6">
    <mergeCell ref="A34:H34"/>
    <mergeCell ref="A1:H1"/>
    <mergeCell ref="A3:H3"/>
    <mergeCell ref="A14:H14"/>
    <mergeCell ref="A21:H21"/>
    <mergeCell ref="A28:H2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6"/>
  <sheetViews>
    <sheetView zoomScale="85" zoomScaleNormal="85" workbookViewId="0">
      <selection activeCell="K29" sqref="K29"/>
    </sheetView>
  </sheetViews>
  <sheetFormatPr baseColWidth="10" defaultColWidth="8.6328125" defaultRowHeight="14.5" x14ac:dyDescent="0.35"/>
  <cols>
    <col min="1" max="7" width="18" customWidth="1"/>
  </cols>
  <sheetData>
    <row r="1" spans="1:14" ht="15.5" x14ac:dyDescent="0.35">
      <c r="A1" s="24" t="s">
        <v>66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x14ac:dyDescent="0.35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4" spans="1:14" ht="31" customHeight="1" x14ac:dyDescent="0.35">
      <c r="A4" s="6" t="s">
        <v>3</v>
      </c>
      <c r="B4" s="6" t="s">
        <v>32</v>
      </c>
      <c r="C4" s="6" t="s">
        <v>33</v>
      </c>
      <c r="D4" s="6" t="s">
        <v>34</v>
      </c>
      <c r="E4" s="6" t="s">
        <v>35</v>
      </c>
      <c r="F4" s="6" t="s">
        <v>36</v>
      </c>
      <c r="G4" s="6" t="s">
        <v>37</v>
      </c>
    </row>
    <row r="5" spans="1:14" x14ac:dyDescent="0.35">
      <c r="A5" s="8" t="s">
        <v>38</v>
      </c>
      <c r="B5" s="21">
        <v>4.2</v>
      </c>
      <c r="C5" s="21">
        <v>9.8000000000000007</v>
      </c>
      <c r="D5" s="21">
        <v>16.5</v>
      </c>
      <c r="E5" s="7">
        <v>22</v>
      </c>
      <c r="F5" s="27" t="str">
        <f t="shared" ref="F5:F16" si="0">IF(E5&lt;B5,"Éxito",IF(E5&lt;D5,"En rango","Epidemia"))</f>
        <v>Epidemia</v>
      </c>
      <c r="G5" s="11">
        <f t="shared" ref="G5:G16" si="1">IF(E5&lt;B5,0,IF(E5&lt;D5,1,2))</f>
        <v>2</v>
      </c>
    </row>
    <row r="6" spans="1:14" x14ac:dyDescent="0.35">
      <c r="A6" s="8" t="s">
        <v>39</v>
      </c>
      <c r="B6" s="21">
        <v>5.0999999999999996</v>
      </c>
      <c r="C6" s="21">
        <v>11.5</v>
      </c>
      <c r="D6" s="21">
        <v>19.2</v>
      </c>
      <c r="E6" s="7">
        <v>18</v>
      </c>
      <c r="F6" s="11" t="str">
        <f t="shared" si="0"/>
        <v>En rango</v>
      </c>
      <c r="G6" s="11">
        <f t="shared" si="1"/>
        <v>1</v>
      </c>
    </row>
    <row r="7" spans="1:14" x14ac:dyDescent="0.35">
      <c r="A7" s="8" t="s">
        <v>40</v>
      </c>
      <c r="B7" s="21">
        <v>6.8</v>
      </c>
      <c r="C7" s="21">
        <v>15.2</v>
      </c>
      <c r="D7" s="21">
        <v>25.8</v>
      </c>
      <c r="E7" s="7">
        <v>24</v>
      </c>
      <c r="F7" s="11" t="str">
        <f t="shared" si="0"/>
        <v>En rango</v>
      </c>
      <c r="G7" s="11">
        <f t="shared" si="1"/>
        <v>1</v>
      </c>
    </row>
    <row r="8" spans="1:14" x14ac:dyDescent="0.35">
      <c r="A8" s="8" t="s">
        <v>41</v>
      </c>
      <c r="B8" s="21">
        <v>9.5</v>
      </c>
      <c r="C8" s="21">
        <v>22</v>
      </c>
      <c r="D8" s="21">
        <v>36</v>
      </c>
      <c r="E8" s="7">
        <v>35</v>
      </c>
      <c r="F8" s="11" t="str">
        <f t="shared" si="0"/>
        <v>En rango</v>
      </c>
      <c r="G8" s="11">
        <f t="shared" si="1"/>
        <v>1</v>
      </c>
    </row>
    <row r="9" spans="1:14" x14ac:dyDescent="0.35">
      <c r="A9" s="8" t="s">
        <v>42</v>
      </c>
      <c r="B9" s="21">
        <v>12.3</v>
      </c>
      <c r="C9" s="21">
        <v>28.5</v>
      </c>
      <c r="D9" s="21">
        <v>46.8</v>
      </c>
      <c r="E9" s="7">
        <v>55</v>
      </c>
      <c r="F9" s="27" t="str">
        <f t="shared" si="0"/>
        <v>Epidemia</v>
      </c>
      <c r="G9" s="11">
        <f t="shared" si="1"/>
        <v>2</v>
      </c>
    </row>
    <row r="10" spans="1:14" x14ac:dyDescent="0.35">
      <c r="A10" s="8" t="s">
        <v>43</v>
      </c>
      <c r="B10" s="21">
        <v>11</v>
      </c>
      <c r="C10" s="21">
        <v>25.8</v>
      </c>
      <c r="D10" s="21">
        <v>42.5</v>
      </c>
      <c r="E10" s="7">
        <v>40</v>
      </c>
      <c r="F10" s="11" t="str">
        <f t="shared" si="0"/>
        <v>En rango</v>
      </c>
      <c r="G10" s="11">
        <f t="shared" si="1"/>
        <v>1</v>
      </c>
    </row>
    <row r="11" spans="1:14" x14ac:dyDescent="0.35">
      <c r="A11" s="8" t="s">
        <v>44</v>
      </c>
      <c r="B11" s="21">
        <v>8.5</v>
      </c>
      <c r="C11" s="21">
        <v>19.5</v>
      </c>
      <c r="D11" s="21">
        <v>32</v>
      </c>
      <c r="E11" s="7">
        <v>20</v>
      </c>
      <c r="F11" s="11" t="str">
        <f t="shared" si="0"/>
        <v>En rango</v>
      </c>
      <c r="G11" s="11">
        <f t="shared" si="1"/>
        <v>1</v>
      </c>
    </row>
    <row r="12" spans="1:14" x14ac:dyDescent="0.35">
      <c r="A12" s="8" t="s">
        <v>45</v>
      </c>
      <c r="B12" s="21">
        <v>7.2</v>
      </c>
      <c r="C12" s="21">
        <v>16.8</v>
      </c>
      <c r="D12" s="21">
        <v>27.5</v>
      </c>
      <c r="E12" s="7">
        <v>15</v>
      </c>
      <c r="F12" s="11" t="str">
        <f t="shared" si="0"/>
        <v>En rango</v>
      </c>
      <c r="G12" s="11">
        <f t="shared" si="1"/>
        <v>1</v>
      </c>
    </row>
    <row r="13" spans="1:14" x14ac:dyDescent="0.35">
      <c r="A13" s="8" t="s">
        <v>46</v>
      </c>
      <c r="B13" s="21">
        <v>8.4</v>
      </c>
      <c r="C13" s="21">
        <v>19.2</v>
      </c>
      <c r="D13" s="21">
        <v>31.5</v>
      </c>
      <c r="E13" s="7">
        <v>28</v>
      </c>
      <c r="F13" s="11" t="str">
        <f t="shared" si="0"/>
        <v>En rango</v>
      </c>
      <c r="G13" s="11">
        <f t="shared" si="1"/>
        <v>1</v>
      </c>
    </row>
    <row r="14" spans="1:14" x14ac:dyDescent="0.35">
      <c r="A14" s="8" t="s">
        <v>47</v>
      </c>
      <c r="B14" s="21">
        <v>10.8</v>
      </c>
      <c r="C14" s="21">
        <v>24.5</v>
      </c>
      <c r="D14" s="21">
        <v>40.200000000000003</v>
      </c>
      <c r="E14" s="7">
        <v>38</v>
      </c>
      <c r="F14" s="11" t="str">
        <f t="shared" si="0"/>
        <v>En rango</v>
      </c>
      <c r="G14" s="11">
        <f t="shared" si="1"/>
        <v>1</v>
      </c>
    </row>
    <row r="15" spans="1:14" x14ac:dyDescent="0.35">
      <c r="A15" s="8" t="s">
        <v>48</v>
      </c>
      <c r="B15" s="21">
        <v>9.5</v>
      </c>
      <c r="C15" s="21">
        <v>21.8</v>
      </c>
      <c r="D15" s="21">
        <v>35.799999999999997</v>
      </c>
      <c r="E15" s="7">
        <v>30</v>
      </c>
      <c r="F15" s="11" t="str">
        <f t="shared" si="0"/>
        <v>En rango</v>
      </c>
      <c r="G15" s="11">
        <f t="shared" si="1"/>
        <v>1</v>
      </c>
    </row>
    <row r="16" spans="1:14" x14ac:dyDescent="0.35">
      <c r="A16" s="8" t="s">
        <v>49</v>
      </c>
      <c r="B16" s="21">
        <v>5.8</v>
      </c>
      <c r="C16" s="21">
        <v>13.2</v>
      </c>
      <c r="D16" s="21">
        <v>21.5</v>
      </c>
      <c r="E16" s="7">
        <v>12</v>
      </c>
      <c r="F16" s="11" t="str">
        <f t="shared" si="0"/>
        <v>En rango</v>
      </c>
      <c r="G16" s="11">
        <f t="shared" si="1"/>
        <v>1</v>
      </c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tabSelected="1" zoomScaleNormal="100" workbookViewId="0">
      <selection activeCell="D11" sqref="D11"/>
    </sheetView>
  </sheetViews>
  <sheetFormatPr baseColWidth="10" defaultColWidth="8.6328125" defaultRowHeight="14.5" x14ac:dyDescent="0.35"/>
  <cols>
    <col min="1" max="7" width="20" customWidth="1"/>
  </cols>
  <sheetData>
    <row r="1" spans="1:7" ht="15.5" x14ac:dyDescent="0.35">
      <c r="A1" s="24" t="s">
        <v>50</v>
      </c>
      <c r="B1" s="24"/>
      <c r="C1" s="24"/>
      <c r="D1" s="24"/>
      <c r="E1" s="24"/>
      <c r="F1" s="24"/>
      <c r="G1" s="24"/>
    </row>
    <row r="3" spans="1:7" x14ac:dyDescent="0.35">
      <c r="A3" s="4" t="s">
        <v>51</v>
      </c>
      <c r="B3" s="4"/>
      <c r="C3" s="4"/>
      <c r="D3" s="4"/>
      <c r="E3" s="4"/>
      <c r="F3" s="4"/>
      <c r="G3" s="4"/>
    </row>
    <row r="5" spans="1:7" ht="28" x14ac:dyDescent="0.35">
      <c r="A5" s="6" t="s">
        <v>52</v>
      </c>
      <c r="B5" s="6" t="s">
        <v>53</v>
      </c>
      <c r="C5" s="6" t="s">
        <v>54</v>
      </c>
      <c r="D5" s="6" t="s">
        <v>32</v>
      </c>
      <c r="E5" s="6" t="s">
        <v>34</v>
      </c>
      <c r="F5" s="6" t="s">
        <v>55</v>
      </c>
      <c r="G5" s="6" t="s">
        <v>56</v>
      </c>
    </row>
    <row r="6" spans="1:7" ht="37.5" x14ac:dyDescent="0.35">
      <c r="A6" s="8" t="s">
        <v>57</v>
      </c>
      <c r="B6" s="8">
        <v>15</v>
      </c>
      <c r="C6" s="8">
        <v>45.2</v>
      </c>
      <c r="D6" s="8">
        <v>28.5</v>
      </c>
      <c r="E6" s="8">
        <v>65</v>
      </c>
      <c r="F6" s="22" t="s">
        <v>58</v>
      </c>
      <c r="G6" s="37" t="s">
        <v>59</v>
      </c>
    </row>
    <row r="7" spans="1:7" ht="37.5" x14ac:dyDescent="0.35">
      <c r="A7" s="8" t="s">
        <v>60</v>
      </c>
      <c r="B7" s="8">
        <v>15</v>
      </c>
      <c r="C7" s="8">
        <v>3.5</v>
      </c>
      <c r="D7" s="8">
        <v>1.8</v>
      </c>
      <c r="E7" s="8">
        <v>6.2</v>
      </c>
      <c r="F7" s="23" t="s">
        <v>61</v>
      </c>
      <c r="G7" s="37" t="s">
        <v>62</v>
      </c>
    </row>
    <row r="9" spans="1:7" ht="23.9" customHeight="1" x14ac:dyDescent="0.35">
      <c r="A9" s="36" t="s">
        <v>63</v>
      </c>
      <c r="B9" s="1"/>
      <c r="C9" s="1"/>
      <c r="D9" s="1"/>
      <c r="E9" s="1"/>
      <c r="F9" s="1"/>
      <c r="G9" s="1"/>
    </row>
  </sheetData>
  <mergeCells count="3">
    <mergeCell ref="A1:G1"/>
    <mergeCell ref="A3:G3"/>
    <mergeCell ref="A9:G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DE3AD-4E8A-4207-91C1-41C9A1300DDC}">
  <dimension ref="A2:F30"/>
  <sheetViews>
    <sheetView zoomScale="70" zoomScaleNormal="70" workbookViewId="0">
      <selection activeCell="C10" sqref="C10"/>
    </sheetView>
  </sheetViews>
  <sheetFormatPr baseColWidth="10" defaultRowHeight="14.5" x14ac:dyDescent="0.35"/>
  <cols>
    <col min="3" max="3" width="13.81640625" customWidth="1"/>
  </cols>
  <sheetData>
    <row r="2" spans="1:6" ht="15" thickBot="1" x14ac:dyDescent="0.4">
      <c r="A2" s="38" t="s">
        <v>88</v>
      </c>
    </row>
    <row r="3" spans="1:6" ht="26.5" thickBot="1" x14ac:dyDescent="0.4">
      <c r="A3" s="28" t="s">
        <v>67</v>
      </c>
      <c r="B3" s="29" t="s">
        <v>68</v>
      </c>
      <c r="C3" s="29" t="s">
        <v>69</v>
      </c>
      <c r="D3" s="29" t="s">
        <v>70</v>
      </c>
      <c r="E3" s="29" t="s">
        <v>71</v>
      </c>
      <c r="F3" s="29" t="s">
        <v>72</v>
      </c>
    </row>
    <row r="4" spans="1:6" ht="15" thickBot="1" x14ac:dyDescent="0.4">
      <c r="A4" s="30" t="s">
        <v>73</v>
      </c>
      <c r="B4" s="31" t="s">
        <v>74</v>
      </c>
      <c r="C4" s="31" t="s">
        <v>75</v>
      </c>
      <c r="D4" s="31" t="s">
        <v>76</v>
      </c>
      <c r="E4" s="31" t="s">
        <v>77</v>
      </c>
      <c r="F4" s="31">
        <v>6.0839999999999996</v>
      </c>
    </row>
    <row r="5" spans="1:6" ht="15" thickBot="1" x14ac:dyDescent="0.4">
      <c r="A5" s="32" t="s">
        <v>78</v>
      </c>
      <c r="B5" s="33" t="s">
        <v>79</v>
      </c>
      <c r="C5" s="33" t="s">
        <v>80</v>
      </c>
      <c r="D5" s="33" t="s">
        <v>81</v>
      </c>
      <c r="E5" s="33" t="s">
        <v>82</v>
      </c>
      <c r="F5" s="33">
        <v>13.68</v>
      </c>
    </row>
    <row r="6" spans="1:6" ht="15" thickBot="1" x14ac:dyDescent="0.4">
      <c r="A6" s="30" t="s">
        <v>83</v>
      </c>
      <c r="B6" s="31" t="s">
        <v>84</v>
      </c>
      <c r="C6" s="31" t="s">
        <v>85</v>
      </c>
      <c r="D6" s="31" t="s">
        <v>86</v>
      </c>
      <c r="E6" s="31" t="s">
        <v>87</v>
      </c>
      <c r="F6" s="31">
        <v>14.795999999999999</v>
      </c>
    </row>
    <row r="8" spans="1:6" ht="15" thickBot="1" x14ac:dyDescent="0.4">
      <c r="A8" s="34" t="s">
        <v>89</v>
      </c>
    </row>
    <row r="9" spans="1:6" ht="15" thickBot="1" x14ac:dyDescent="0.4">
      <c r="A9" s="28" t="s">
        <v>67</v>
      </c>
      <c r="B9" s="29" t="s">
        <v>68</v>
      </c>
      <c r="C9" s="29" t="s">
        <v>69</v>
      </c>
      <c r="D9" s="29" t="s">
        <v>70</v>
      </c>
      <c r="E9" s="29" t="s">
        <v>71</v>
      </c>
      <c r="F9" s="29" t="s">
        <v>72</v>
      </c>
    </row>
    <row r="10" spans="1:6" ht="15" thickBot="1" x14ac:dyDescent="0.4">
      <c r="A10" s="30" t="s">
        <v>73</v>
      </c>
      <c r="B10" s="31" t="s">
        <v>90</v>
      </c>
      <c r="C10" s="31" t="s">
        <v>91</v>
      </c>
      <c r="D10" s="31" t="s">
        <v>92</v>
      </c>
      <c r="E10" s="31" t="s">
        <v>93</v>
      </c>
      <c r="F10" s="31">
        <v>6.0839999999999996</v>
      </c>
    </row>
    <row r="11" spans="1:6" ht="15" thickBot="1" x14ac:dyDescent="0.4">
      <c r="A11" s="32" t="s">
        <v>78</v>
      </c>
      <c r="B11" s="33" t="s">
        <v>94</v>
      </c>
      <c r="C11" s="33" t="s">
        <v>95</v>
      </c>
      <c r="D11" s="33" t="s">
        <v>96</v>
      </c>
      <c r="E11" s="33" t="s">
        <v>97</v>
      </c>
      <c r="F11" s="33">
        <v>13.68</v>
      </c>
    </row>
    <row r="12" spans="1:6" ht="15" thickBot="1" x14ac:dyDescent="0.4">
      <c r="A12" s="30" t="s">
        <v>83</v>
      </c>
      <c r="B12" s="31" t="s">
        <v>98</v>
      </c>
      <c r="C12" s="31" t="s">
        <v>99</v>
      </c>
      <c r="D12" s="31" t="s">
        <v>100</v>
      </c>
      <c r="E12" s="31" t="s">
        <v>101</v>
      </c>
      <c r="F12" s="31">
        <v>14.795999999999999</v>
      </c>
    </row>
    <row r="14" spans="1:6" ht="15" thickBot="1" x14ac:dyDescent="0.4">
      <c r="A14" s="34" t="s">
        <v>102</v>
      </c>
    </row>
    <row r="15" spans="1:6" ht="15" thickBot="1" x14ac:dyDescent="0.4">
      <c r="A15" s="28" t="s">
        <v>67</v>
      </c>
      <c r="B15" s="29" t="s">
        <v>68</v>
      </c>
      <c r="C15" s="29" t="s">
        <v>69</v>
      </c>
      <c r="D15" s="29" t="s">
        <v>70</v>
      </c>
      <c r="E15" s="29" t="s">
        <v>71</v>
      </c>
      <c r="F15" s="29" t="s">
        <v>72</v>
      </c>
    </row>
    <row r="16" spans="1:6" ht="15" thickBot="1" x14ac:dyDescent="0.4">
      <c r="A16" s="30" t="s">
        <v>73</v>
      </c>
      <c r="B16" s="31" t="s">
        <v>74</v>
      </c>
      <c r="C16" s="31" t="s">
        <v>103</v>
      </c>
      <c r="D16" s="31" t="s">
        <v>104</v>
      </c>
      <c r="E16" s="31" t="s">
        <v>105</v>
      </c>
      <c r="F16" s="31">
        <v>6.0839999999999996</v>
      </c>
    </row>
    <row r="17" spans="1:6" ht="15" thickBot="1" x14ac:dyDescent="0.4">
      <c r="A17" s="32" t="s">
        <v>78</v>
      </c>
      <c r="B17" s="33" t="s">
        <v>106</v>
      </c>
      <c r="C17" s="33" t="s">
        <v>107</v>
      </c>
      <c r="D17" s="33" t="s">
        <v>108</v>
      </c>
      <c r="E17" s="33" t="s">
        <v>109</v>
      </c>
      <c r="F17" s="33">
        <v>13.68</v>
      </c>
    </row>
    <row r="18" spans="1:6" ht="15" thickBot="1" x14ac:dyDescent="0.4">
      <c r="A18" s="30" t="s">
        <v>83</v>
      </c>
      <c r="B18" s="31" t="s">
        <v>110</v>
      </c>
      <c r="C18" s="31" t="s">
        <v>111</v>
      </c>
      <c r="D18" s="31" t="s">
        <v>112</v>
      </c>
      <c r="E18" s="31" t="s">
        <v>113</v>
      </c>
      <c r="F18" s="31">
        <v>14.795999999999999</v>
      </c>
    </row>
    <row r="20" spans="1:6" ht="15" thickBot="1" x14ac:dyDescent="0.4">
      <c r="A20" s="34" t="s">
        <v>114</v>
      </c>
    </row>
    <row r="21" spans="1:6" ht="15" thickBot="1" x14ac:dyDescent="0.4">
      <c r="A21" s="28" t="s">
        <v>67</v>
      </c>
      <c r="B21" s="29" t="s">
        <v>68</v>
      </c>
      <c r="C21" s="29" t="s">
        <v>69</v>
      </c>
      <c r="D21" s="29" t="s">
        <v>70</v>
      </c>
      <c r="E21" s="29" t="s">
        <v>71</v>
      </c>
      <c r="F21" s="29" t="s">
        <v>72</v>
      </c>
    </row>
    <row r="22" spans="1:6" ht="15" thickBot="1" x14ac:dyDescent="0.4">
      <c r="A22" s="30" t="s">
        <v>73</v>
      </c>
      <c r="B22" s="31" t="s">
        <v>115</v>
      </c>
      <c r="C22" s="31" t="s">
        <v>116</v>
      </c>
      <c r="D22" s="31" t="s">
        <v>117</v>
      </c>
      <c r="E22" s="31" t="s">
        <v>118</v>
      </c>
      <c r="F22" s="31">
        <v>6.0839999999999996</v>
      </c>
    </row>
    <row r="23" spans="1:6" ht="15" thickBot="1" x14ac:dyDescent="0.4">
      <c r="A23" s="32" t="s">
        <v>78</v>
      </c>
      <c r="B23" s="33" t="s">
        <v>119</v>
      </c>
      <c r="C23" s="33" t="s">
        <v>104</v>
      </c>
      <c r="D23" s="33" t="s">
        <v>120</v>
      </c>
      <c r="E23" s="33" t="s">
        <v>121</v>
      </c>
      <c r="F23" s="33">
        <v>13.68</v>
      </c>
    </row>
    <row r="24" spans="1:6" ht="15" thickBot="1" x14ac:dyDescent="0.4">
      <c r="A24" s="30" t="s">
        <v>83</v>
      </c>
      <c r="B24" s="31" t="s">
        <v>122</v>
      </c>
      <c r="C24" s="31" t="s">
        <v>123</v>
      </c>
      <c r="D24" s="31" t="s">
        <v>124</v>
      </c>
      <c r="E24" s="31" t="s">
        <v>125</v>
      </c>
      <c r="F24" s="31">
        <v>14.795999999999999</v>
      </c>
    </row>
    <row r="26" spans="1:6" ht="15" thickBot="1" x14ac:dyDescent="0.4">
      <c r="A26" s="34" t="s">
        <v>126</v>
      </c>
    </row>
    <row r="27" spans="1:6" ht="15" thickBot="1" x14ac:dyDescent="0.4">
      <c r="A27" s="28" t="s">
        <v>67</v>
      </c>
      <c r="B27" s="29" t="s">
        <v>68</v>
      </c>
      <c r="C27" s="29" t="s">
        <v>69</v>
      </c>
      <c r="D27" s="29" t="s">
        <v>70</v>
      </c>
      <c r="E27" s="29" t="s">
        <v>71</v>
      </c>
      <c r="F27" s="29" t="s">
        <v>72</v>
      </c>
    </row>
    <row r="28" spans="1:6" ht="15" thickBot="1" x14ac:dyDescent="0.4">
      <c r="A28" s="30" t="s">
        <v>73</v>
      </c>
      <c r="B28" s="31" t="s">
        <v>127</v>
      </c>
      <c r="C28" s="31" t="s">
        <v>128</v>
      </c>
      <c r="D28" s="31" t="s">
        <v>129</v>
      </c>
      <c r="E28" s="31" t="s">
        <v>130</v>
      </c>
      <c r="F28" s="31">
        <v>6.0839999999999996</v>
      </c>
    </row>
    <row r="29" spans="1:6" ht="15" thickBot="1" x14ac:dyDescent="0.4">
      <c r="A29" s="32" t="s">
        <v>78</v>
      </c>
      <c r="B29" s="33" t="s">
        <v>131</v>
      </c>
      <c r="C29" s="33" t="s">
        <v>132</v>
      </c>
      <c r="D29" s="33" t="s">
        <v>133</v>
      </c>
      <c r="E29" s="33" t="s">
        <v>134</v>
      </c>
      <c r="F29" s="33">
        <v>13.68</v>
      </c>
    </row>
    <row r="30" spans="1:6" ht="15" thickBot="1" x14ac:dyDescent="0.4">
      <c r="A30" s="30" t="s">
        <v>83</v>
      </c>
      <c r="B30" s="31" t="s">
        <v>135</v>
      </c>
      <c r="C30" s="31" t="s">
        <v>136</v>
      </c>
      <c r="D30" s="31" t="s">
        <v>137</v>
      </c>
      <c r="E30" s="31" t="s">
        <v>138</v>
      </c>
      <c r="F30" s="31">
        <v>14.795999999999999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Datos Históricos</vt:lpstr>
      <vt:lpstr>Cálculo Bortman</vt:lpstr>
      <vt:lpstr>Canal Anual Completo</vt:lpstr>
      <vt:lpstr>nivel_endemico como Feature</vt:lpstr>
      <vt:lpstr>Métricas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Diego Andres Dominguez Sanchez</cp:lastModifiedBy>
  <cp:revision>1</cp:revision>
  <dcterms:created xsi:type="dcterms:W3CDTF">2026-05-21T21:13:08Z</dcterms:created>
  <dcterms:modified xsi:type="dcterms:W3CDTF">2026-05-22T02:49:24Z</dcterms:modified>
  <dc:language>en-US</dc:language>
</cp:coreProperties>
</file>